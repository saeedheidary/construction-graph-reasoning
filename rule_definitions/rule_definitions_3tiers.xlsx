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z5395577\Downloads\"/>
    </mc:Choice>
  </mc:AlternateContent>
  <xr:revisionPtr revIDLastSave="0" documentId="13_ncr:1_{56D7C51A-FFF3-4354-B92B-635B57F102E5}" xr6:coauthVersionLast="47" xr6:coauthVersionMax="47" xr10:uidLastSave="{00000000-0000-0000-0000-000000000000}"/>
  <bookViews>
    <workbookView xWindow="-110" yWindow="-110" windowWidth="19420" windowHeight="10300" xr2:uid="{00000000-000D-0000-FFFF-FFFF00000000}"/>
  </bookViews>
  <sheets>
    <sheet name="Rule Definitions" sheetId="1" r:id="rId1"/>
    <sheet name="Results Matrix Templa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2" l="1"/>
  <c r="N11" i="2"/>
  <c r="M11" i="2"/>
  <c r="L11" i="2"/>
  <c r="K11" i="2"/>
  <c r="J11" i="2"/>
  <c r="I11" i="2"/>
  <c r="H11" i="2"/>
  <c r="G11" i="2"/>
  <c r="F11" i="2"/>
  <c r="E11" i="2"/>
  <c r="D11" i="2"/>
</calcChain>
</file>

<file path=xl/sharedStrings.xml><?xml version="1.0" encoding="utf-8"?>
<sst xmlns="http://schemas.openxmlformats.org/spreadsheetml/2006/main" count="106" uniqueCount="78">
  <si>
    <t>Rule ID</t>
  </si>
  <si>
    <t>Rule Name</t>
  </si>
  <si>
    <t>Logic Pattern</t>
  </si>
  <si>
    <t>Expected Status</t>
  </si>
  <si>
    <t>T1 — Precise (exact schema terminology)</t>
  </si>
  <si>
    <t>T2 — Medium (domain language, no schema labels)</t>
  </si>
  <si>
    <t>T3 — Vague (everyday site language)</t>
  </si>
  <si>
    <t>R001</t>
  </si>
  <si>
    <t>pile_driver_progress</t>
  </si>
  <si>
    <t>machine_present + spatial</t>
  </si>
  <si>
    <t>on progress</t>
  </si>
  <si>
    <t>Rule name: pile_driver_progress
Infer that a construction activity is on progress when a pile driver machine is observed near pile infrastructure elements in the direction of observation.
Use observations from the graph pattern:
(o:Observation)-[:observes]-&gt;(m:Machinery)
Filter observations where:
m.name = "PILE_DRIVER_MACHINE"
For each matching observation:
- use o.id as the observation identifier
- use o.lat and o.lon as the observation location in WGS84
- use o.looked_side as the observation direction
- use time from (o)-[:observedAt]-&gt;(t:TemporalInstant) with t.isoDate; if t.isoDate is missing, use o.time_iso
Identify candidate infrastructure elements from (e:InfrastructureElement) where:
- e.name contains "PILE" case-insensitively
- e.globalX and e.globalY exist and represent projected coordinates in EPSG:32756
Convert observation lat/lon to projected coordinates in EPSG:32756.
For each observation, keep only elements within 500 metres. If o.looked_side exists, apply a 180-degree sector filter (half-angle 90 degrees); if missing, treat as all-directional.
Retrieve linked ConstructionActivity nodes through hasComponent in either direction:
(ca:ConstructionActivity)-[:hasComponent]-&gt;(e:InfrastructureElement)
or (e:InfrastructureElement)-[:hasComponent]-&gt;(ca:ConstructionActivity)
For every matched activity, MERGE an InformationResource with:
- id = "IR:PDM:{observationID}:{activityID}"
- status = "on progress"
- source = "inference: pile driver observed within 500m and sector '{SIDE}'"
Create links: (ca)-[:hasInformation]-&gt;(ir), (ir)-[:justifiedBy]-&gt;(rr:icop_SWRRule {id:"pile_driver_progress"}), (ir)-[:inferedAt]-&gt;(t:TemporalInstant) when time is available.
Print summary: observations processed, observations with usable coordinates, candidate pile matches, linked activities, InformationResource nodes created or updated.</t>
  </si>
  <si>
    <t>Rule name: pile_driver_progress
When a site observation records a pile driver machine operating at a location, mark the construction activities associated with nearby pile foundation elements as in progress.
The observation must record the pile driver machine and include GPS coordinates. Find all pile-related structure elements within 500 metres of the observation point. If the observation has a viewing direction, only consider elements that fall within the 180-degree field of view in that direction.
For each pile element found, identify the construction activities linked to it and record that those activities are currently being worked on. Store the inferred status, link it back to the observation time, and keep a record of which rule triggered the inference.
Print a summary of how many observations were processed, how many elements were matched, and how many activity status records were created or updated.</t>
  </si>
  <si>
    <t>When we see a pile driver working on site, it means pile construction is in progress. Mark the relevant pile work activities as ongoing. Use the location of the sighting and the direction the camera was pointing to figure out which piles are nearby. For each pile that is close enough and in the right direction, find the related work activity and update its status to show it is being worked on.</t>
  </si>
  <si>
    <t>R002</t>
  </si>
  <si>
    <t>pile_cap_completion</t>
  </si>
  <si>
    <t>element_present_machine_absent + spatial</t>
  </si>
  <si>
    <t>completed</t>
  </si>
  <si>
    <t>Rule name: pile_cap_completion
Infer that a construction activity is completed when an Observation node observes an InfrastructureElement with name equal to PILE_CAP, and the same Observation does not observe a Machinery node with name equal to PILE_DRIVER_MACHINE.
Use the graph pattern:
(o:Observation)-[:observes]-&gt;(ie:InfrastructureElement)
Filter observations where:
- toUpper(ie.name) = toUpper("PILE_CAP")
- AND NOT (o)-[:observes]-&gt;(:Machinery {name:"PILE_DRIVER_MACHINE"})
For each qualifying observation:
- use o.id, o.lat, o.lon, o.looked_side
- retrieve time from (o)-[:observedAt]-&gt;(t:TemporalInstant) using t.isoDate; fallback to o.time_iso
Identify candidate InfrastructureElement nodes where:
- e.name contains "PILE" case-insensitively
- e.globalX and e.globalY exist as projected coordinates in EPSG:32756
Convert observation lat/lon to EPSG:32756. Apply 500-metre radius and 180-degree sector filter based on looked_side.
Retrieve ConstructionActivity nodes through hasComponent in both directions.
MERGE InformationResource with:
- id = "IR:PCC:{observationID}:{activityID}"
- status = "completed"
- source = "inference: pile cap observed without pile driver within 500m and sector '{SIDE}'"
Create links: (ca)-[:hasInformation]-&gt;(ir), (ir)-[:justifiedBy]-&gt;(rr:icop_SWRRule {id:"pile_cap_completion"}), (ir)-[:inferedAt]-&gt;(t:TemporalInstant) when available.
Print summary statistics.</t>
  </si>
  <si>
    <t>Rule name: pile_cap_completion
When a site observation records that a pile cap structure is visible but no pile driver machine is present at that same observation, infer that the piling activity for that area is complete.
The pile cap being visible without the pile driver indicates the piles have been driven and the cap has been placed. Find all pile-related structural elements within 500 metres of the observation, applying the viewing direction filter if available. For each matched pile element, identify the linked construction activities and mark them as completed. Record the inferred completion, link it to the observation time, and note which rule produced the inference.</t>
  </si>
  <si>
    <t>If we can see a pile cap on site but there is no pile driving equipment around, it means the piling work is finished. Record the relevant pile activities as complete. Use the sighting location and camera direction to find the right piles nearby.</t>
  </si>
  <si>
    <t>R003</t>
  </si>
  <si>
    <t>column_formwork_progress</t>
  </si>
  <si>
    <t>material_present + spatial</t>
  </si>
  <si>
    <t>Rule name: column_formwork_progress
Infer that a construction activity is on progress when an Observation node observes a MaterialBatch node with name equal to COLUMN_FORMWORK.
Use the graph pattern:
(o:Observation)-[:observes]-&gt;(mb:MaterialBatch)
Filter observations where:
mb.name = "COLUMN_FORMWORK"
For each qualifying observation:
- use o.id as the observation identifier
- use o.lat and o.lon as the observation location in WGS84
- use o.looked_side as the viewing direction
- retrieve time from (o)-[:observedAt]-&gt;(t:TemporalInstant) using t.isoDate; fallback to o.time_iso
Identify candidate InfrastructureElement nodes where:
- e.name contains "COLUMN" case-insensitively
- e.globalX and e.globalY exist as projected coordinates in EPSG:32756
Convert observation lat/lon from WGS84 (EPSG:4326) to EPSG:32756. Apply 500-metre radius filter. If o.looked_side exists, apply a 180-degree sector filter (half-angle 90 degrees) using bearings N=0, NE=45, E=90, SE=135, S=180, SW=225, W=270, NW=315. If looked_side is missing, treat as all-directional.
Retrieve ConstructionActivity nodes through hasComponent in both directions.
MERGE InformationResource with:
- id = "IR:COLF:{observationID}:{activityID}"
- status = "on progress"
- source = "inference: column formwork observed within 500m and sector '{SIDE}'"
Create links: (ca)-[:hasInformation]-&gt;(ir), (ir)-[:justifiedBy]-&gt;(rr:icop_SWRRule {id:"column_formwork_progress"}), (ir)-[:inferedAt]-&gt;(t:TemporalInstant) when available.
Print summary: observations processed, observations with usable coordinates, candidate element matches, linked activities, InformationResource nodes created or updated.</t>
  </si>
  <si>
    <t>Rule name: column_formwork_progress
When a site observation detects column formwork material at a location, infer that the column construction activities in that vicinity are currently in progress.
Find all column structural elements within 500 metres of the observation, applying the viewing direction filter if the observation direction is known. Identify the construction activities associated with those column elements and mark them as in progress. Record the inferred status, link it to the observation time, and note the rule that triggered the inference.</t>
  </si>
  <si>
    <t>When formwork material for columns is spotted on site, it means column construction is underway nearby. Mark the column construction activities in that area as ongoing. Use the location of the observation and the camera direction to find which columns are being worked on.</t>
  </si>
  <si>
    <t>R004</t>
  </si>
  <si>
    <t>column_seen_no_formwork_completed</t>
  </si>
  <si>
    <t>element_present_material_absent + spatial</t>
  </si>
  <si>
    <t>Rule name: column_seen_no_formwork_completed
Infer that a construction activity is completed when an Observation node observes an InfrastructureElement with name equal to COLUMN, and the same Observation does not observe a MaterialBatch with name equal to COLUMN_FORMWORK.
Use the graph pattern:
(o:Observation)-[:observes]-&gt;(ie:InfrastructureElement)
Filter observations where:
- toUpper(ie.name) = toUpper("COLUMN")
- AND NOT EXISTS { MATCH (o)-[:observes]-&gt;(mb:MaterialBatch) WHERE mb.name = "COLUMN_FORMWORK" }
For each qualifying observation:
- use o.id, o.lat, o.lon, o.looked_side
- retrieve time from observedAt TemporalInstant using t.isoDate; fallback to o.time_iso
Identify candidate InfrastructureElement nodes where:
- e.name contains "COLUMN" case-insensitively
- e.globalX and e.globalY are valid projected coordinates in EPSG:32756
Apply 500-metre radius and 180-degree sector filter. Retrieve activities through hasComponent both directions.
MERGE InformationResource with:
- id = "IR:CNF:{observationID}:{activityID}"
- status = "completed"
- source = "inference: column observed without formwork within 500m and sector '{SIDE}'"
Create links to icop_SWRRule {id:"column_seen_no_formwork_completed"}, hasInformation, inferedAt.
Print summary statistics.</t>
  </si>
  <si>
    <t>Rule name: column_seen_no_formwork_completed
When a site observation records that a column structure is visible but no column formwork material is present at that same observation, infer that the column construction activity is complete. The column being visible without its formwork suggests the formwork has been stripped and the column is standing.
Find column elements within 500 metres of the observation and in the viewing direction, identify their linked activities, and mark those activities as completed. Record the inferred status with the standard tracking links.</t>
  </si>
  <si>
    <t>If a column is visible on site with no formwork around it, the column work is done. Mark the column construction activities as complete for columns near that sighting. Use the location and camera direction to find the right columns.</t>
  </si>
  <si>
    <t>R005</t>
  </si>
  <si>
    <t>abutment_wall_column_progress</t>
  </si>
  <si>
    <t>co_observation_two_elements + spatial + dual_needle</t>
  </si>
  <si>
    <t>Rule name: abutment_wall_column_progress
Infer that a construction activity is on progress when the same Observation node co-observes an InfrastructureElement whose name contains ABUTMENT and another InfrastructureElement whose name contains COLUMN.
Use the graph pattern:
MATCH (o:Observation)-[:observes]-&gt;(e1:InfrastructureElement)
WHERE toUpper(e1.name) CONTAINS 'ABUTMENT'
WITH DISTINCT o
MATCH (o)-[:observes]-&gt;(e2:InfrastructureElement)
WHERE toUpper(e2.name) CONTAINS 'COLUMN'
For each qualifying observation:
- use o.id, o.lat, o.lon, o.looked_side
- retrieve time from observedAt TemporalInstant; fallback to o.time_iso
Identify candidate InfrastructureElement nodes where:
- e.name contains "ABUTMENT" case-insensitively AND e.name contains "WALL" case-insensitively
- e.globalX and e.globalY are valid EPSG:32756 coordinates
Apply 500-metre radius and 180-degree sector filter. Retrieve activities through hasComponent both directions.
MERGE InformationResource with:
- id = "IR:AWC:{observationID}:{activityID}"
- status = "on progress"
- source = "inference: abutment and column co-observed within 500m and sector '{SIDE}'"
Create links to icop_SWRRule {id:"abutment_wall_column_progress"}, hasInformation, inferedAt.
Print summary statistics.</t>
  </si>
  <si>
    <t>Rule name: abutment_wall_column_progress
When a single site observation records both an abutment structure and a column structure in the same view, infer that the abutment wall construction is currently in progress. Both an abutment and a column must be visible in the same observation for this rule to fire.
Find abutment wall elements (elements whose name includes both abutment and wall) within 500 metres of the observation and within the viewing direction. Identify the construction activities linked to those elements and mark them as in progress.</t>
  </si>
  <si>
    <t>When a site camera captures both an abutment and a column in the same photo or recording, it suggests the abutment wall work is ongoing. Flag the abutment wall construction activities in that area as in progress.</t>
  </si>
  <si>
    <t>R006</t>
  </si>
  <si>
    <t>abutment_wall_completed_no_column</t>
  </si>
  <si>
    <t>element_present_element_absent + spatial + dual_needle</t>
  </si>
  <si>
    <t>Rule name: abutment_wall_completed_no_column
Infer that a construction activity is completed when an Observation node observes an InfrastructureElement whose name contains ABUTMENT, and the same Observation does not observe any InfrastructureElement whose name contains COLUMN.
Use the graph pattern:
MATCH (o:Observation)-[:observes]-&gt;(ea:InfrastructureElement)
WHERE toUpper(ea.name) CONTAINS 'ABUTMENT'
AND NOT EXISTS {
  MATCH (o)-[:observes]-&gt;(ec:InfrastructureElement)
  WHERE toUpper(ec.name) CONTAINS 'COLUMN'
}
For each qualifying observation:
- use o.id, o.lat, o.lon, o.looked_side
- retrieve time from observedAt TemporalInstant; fallback to o.time_iso
Identify candidate InfrastructureElement nodes where:
- e.name contains "ABUTMENT" AND "WALL" case-insensitively
- e.globalX and e.globalY are valid EPSG:32756 coordinates
Apply 500-metre radius and 180-degree sector filter. Retrieve activities through hasComponent both directions.
MERGE InformationResource with:
- id = "IR:ANC:{observationID}:{activityID}"
- status = "completed"
- source = "inference: abutment seen without column within 500m and sector '{SIDE}'"
Create links to icop_SWRRule {id:"abutment_wall_completed_no_column"}, hasInformation, inferedAt.
Print summary statistics.</t>
  </si>
  <si>
    <t>Rule name: abutment_wall_completed_no_column
When a site observation records an abutment structure but no column structure is visible in the same observation, infer that the abutment wall construction is complete. The abutment being visible without associated columns suggests the structural sequence has progressed past the column stage.
Find abutment wall elements within 500 metres and in the viewing direction, identify their linked activities, and mark those activities as completed.</t>
  </si>
  <si>
    <t>If we can see the abutment on site but there are no columns visible in the same view, the abutment work is probably finished. Mark the abutment wall construction activities as complete.</t>
  </si>
  <si>
    <t>R007</t>
  </si>
  <si>
    <t>abutment_wall_with_scaffold_beams_progress</t>
  </si>
  <si>
    <t>co_observation_element_and_material + spatial</t>
  </si>
  <si>
    <t>Rule name: abutment_wall_with_scaffold_beams_progress
Infer that a construction activity is on progress when the same Observation node co-observes an InfrastructureElement whose name contains both ABUTMENT and WALL, and a MaterialBatch node with name equal to SCAFFOLD.
Use the graph pattern:
MATCH (o:Observation)
WHERE EXISTS {
  MATCH (o)-[:observes]-&gt;(ea:InfrastructureElement)
  WHERE toUpper(ea.name) CONTAINS 'ABUTMENT' AND toUpper(ea.name) CONTAINS 'WALL'
}
AND EXISTS {
  MATCH (o)-[:observes]-&gt;(mb:MaterialBatch {name:'SCAFFOLD'})
}
For each qualifying observation:
- use o.id, o.lat, o.lon, o.looked_side
- retrieve time from observedAt TemporalInstant; fallback to o.time_iso
Identify candidate InfrastructureElement nodes where:
- e.name contains "BEAM" case-insensitively
- e.globalX and e.globalY are valid EPSG:32756 coordinates
Apply 500-metre radius and 180-degree sector filter. Retrieve activities through hasComponent both directions.
MERGE InformationResource with:
- id = "IR:ASB:{observationID}:{activityID}"
- status = "on progress"
- source = "inference: abutment wall with scaffold implies beam progress within 500m and sector '{SIDE}'"
Create links to icop_SWRRule {id:"abutment_wall_with_scaffold_beams_progress"}, hasInformation, inferedAt.
Print summary statistics.</t>
  </si>
  <si>
    <t>Rule name: abutment_wall_with_scaffold_beams_progress
When a single site observation records both an abutment wall structure and scaffold material at the same location, infer that beam construction activities in that area are in progress. The co-presence of the abutment wall and scaffolding material indicates that beam placement work is underway. Both the abutment wall and the scaffold must be visible in the same observation.
Find beam structural elements within 500 metres and in the viewing direction, identify their linked activities, and mark those activities as in progress.</t>
  </si>
  <si>
    <t>When a site observation shows both the abutment wall and scaffolding at the same time, it means beam work is going on nearby. Mark the beam construction activities in that area as in progress.</t>
  </si>
  <si>
    <t>R008</t>
  </si>
  <si>
    <t>activity_status_assessment</t>
  </si>
  <si>
    <t>schedule_assessment (no spatial trigger)</t>
  </si>
  <si>
    <t>varied</t>
  </si>
  <si>
    <t>Rule name: activity_status_assessment
Assess the status of all ConstructionActivity nodes at the latest observation time. Retrieve the latest TemporalInstant isoDate from all (o:Observation)-[:observedAt]-&gt;(t:TemporalInstant) relationships.
For each ConstructionActivity with hasStartTime and hasFinishTime links:
- If it already has a non-ASSESS completed InformationResource inferred at or before the latest time: assign status "completed"
- If planned finish is earlier than latest observation time AND not completed: assign "delayed"; if it also has prior on-progress evidence, also assign "on progress"
- If latest observation time falls within planned start-finish window: assign "on progress" if prior evidence exists; otherwise "delayed"
- If planned start is later than latest observation time: assign "at risk" if any predecessor via DEPENDS_ON is delayed; otherwise "planned"
Before writing, delete all existing InformationResource nodes with id starting with "IR:ASSESS:".
Write new InformationResource nodes with:
- id = "IR:ASSESS:LATEST:{T_LAST}:{activityID}:{STATUS}"
- status = the inferred status
- source = "latest activity status assessment snapshot at {T}"
- additional properties: inference_run_time, observation_time, information_kind="activity_status_assessment", assessment_scope="latest_snapshot", is_inferred=true, is_latest_snapshot=true
Create links: (ca)-[:hasInformation]-&gt;(ir), (ir)-[:justifiedBy]-&gt;(rr:icop_SWRRule {id:"activity_status_assessment"}), (ir)-[:inferedAt]-&gt;(t:TemporalInstant {isoDate:T_LAST}).
Print: latest observation time, previous assessment nodes removed, fresh assessment nodes written.</t>
  </si>
  <si>
    <t>Rule name: activity_status_assessment
Review the current status of all construction activities based on the most recent site observation timestamp. For each activity, compare its planned start and end dates against the latest observation time:
- Already confirmed complete from prior evidence: mark completed
- Planned end has passed but not complete: mark delayed; if previously in progress, also mark on progress
- Within planned window: mark in progress if evidence of work exists, otherwise delayed
- Not yet started: mark at risk if any predecessor activity is delayed; otherwise planned
Replace the previous assessment snapshot entirely each time this rule runs — delete all old assessment records first, then write the new ones. Store the run timestamp on each new record.</t>
  </si>
  <si>
    <t>Look at all the construction activities in the project and decide what their current status should be based on the latest information from site. If work is done say completed. If the deadline has passed and it is not done say delayed. If it is being worked on now say in progress. If it has not started yet and a previous step is behind schedule say at risk. Otherwise say planned. Update all the statuses and remove the old ones each time the rule runs.</t>
  </si>
  <si>
    <t>R009</t>
  </si>
  <si>
    <t>machinery_usage_required_by_plan_check</t>
  </si>
  <si>
    <t>Pattern</t>
  </si>
  <si>
    <t>gpt-4o T1</t>
  </si>
  <si>
    <t>gpt-4o T2</t>
  </si>
  <si>
    <t>gpt-4o T3</t>
  </si>
  <si>
    <t>gpt-4.1 T1</t>
  </si>
  <si>
    <t>gpt-4.1 T2</t>
  </si>
  <si>
    <t>gpt-4.1 T3</t>
  </si>
  <si>
    <t>claude-opus-4-5 T1</t>
  </si>
  <si>
    <t>claude-opus-4-5 T2</t>
  </si>
  <si>
    <t>claude-opus-4-5 T3</t>
  </si>
  <si>
    <t>claude-sonnet-4-5 T1</t>
  </si>
  <si>
    <t>claude-sonnet-4-5 T2</t>
  </si>
  <si>
    <t>claude-sonnet-4-5 T3</t>
  </si>
  <si>
    <t>co_observation_two_elements + spatial</t>
  </si>
  <si>
    <t>element_present_element_absent + spatial</t>
  </si>
  <si>
    <t>schedule_assessment</t>
  </si>
  <si>
    <t>cross_entity_join</t>
  </si>
  <si>
    <t>TOTAL (/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</si>
</sst>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ont>
    <font>
      <sz val="9"/>
      <color rgb="FF000000"/>
      <name val="Calibri"/>
    </font>
    <font>
      <sz val="8"/>
      <color rgb="FF000000"/>
      <name val="Calibri"/>
    </font>
    <font>
      <b/>
      <sz val="9"/>
      <color rgb="FFFFFFFF"/>
      <name val="Calibri"/>
    </font>
  </fonts>
  <fills count="16">
    <fill>
      <patternFill patternType="none"/>
    </fill>
    <fill>
      <patternFill patternType="gray125"/>
    </fill>
    <fill>
      <patternFill patternType="solid">
        <fgColor rgb="FF1F4E79"/>
      </patternFill>
    </fill>
    <fill>
      <patternFill patternType="solid">
        <fgColor rgb="FFF2F3F4"/>
      </patternFill>
    </fill>
    <fill>
      <patternFill patternType="solid">
        <fgColor rgb="FFD6E4F0"/>
      </patternFill>
    </fill>
    <fill>
      <patternFill patternType="solid">
        <fgColor rgb="FFE8F5E9"/>
      </patternFill>
    </fill>
    <fill>
      <patternFill patternType="solid">
        <fgColor rgb="FFFFF9C4"/>
      </patternFill>
    </fill>
    <fill>
      <patternFill patternType="solid">
        <fgColor rgb="FFFFFFFF"/>
      </patternFill>
    </fill>
    <fill>
      <patternFill patternType="solid">
        <fgColor rgb="FFDDEEFF"/>
      </patternFill>
    </fill>
    <fill>
      <patternFill patternType="solid">
        <fgColor rgb="FFDDFFDD"/>
      </patternFill>
    </fill>
    <fill>
      <patternFill patternType="solid">
        <fgColor rgb="FFFFE8CC"/>
      </patternFill>
    </fill>
    <fill>
      <patternFill patternType="solid">
        <fgColor rgb="FFF0E0FF"/>
      </patternFill>
    </fill>
    <fill>
      <patternFill patternType="solid">
        <fgColor rgb="FFC8E6FA"/>
      </patternFill>
    </fill>
    <fill>
      <patternFill patternType="solid">
        <fgColor rgb="FFC8F0C8"/>
      </patternFill>
    </fill>
    <fill>
      <patternFill patternType="solid">
        <fgColor rgb="FFFFD9AA"/>
      </patternFill>
    </fill>
    <fill>
      <patternFill patternType="solid">
        <fgColor rgb="FFE0C8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4" fillId="2" borderId="1" xfId="0" applyFont="1" applyFill="1" applyBorder="1" applyAlignment="1">
      <alignment horizontal="left" vertical="center"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4" fillId="2"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topLeftCell="E1" workbookViewId="0">
      <pane ySplit="1" topLeftCell="A7" activePane="bottomLeft" state="frozen"/>
      <selection pane="bottomLeft" activeCell="E9" sqref="E9"/>
    </sheetView>
  </sheetViews>
  <sheetFormatPr defaultRowHeight="14.5" x14ac:dyDescent="0.35"/>
  <cols>
    <col min="1" max="1" width="8" customWidth="1"/>
    <col min="2" max="2" width="28" customWidth="1"/>
    <col min="3" max="3" width="34" customWidth="1"/>
    <col min="4" max="4" width="14" customWidth="1"/>
    <col min="5" max="5" width="70" customWidth="1"/>
    <col min="6" max="6" width="60" customWidth="1"/>
    <col min="7" max="7" width="50" customWidth="1"/>
  </cols>
  <sheetData>
    <row r="1" spans="1:7" ht="30" customHeight="1" x14ac:dyDescent="0.35">
      <c r="A1" s="1" t="s">
        <v>0</v>
      </c>
      <c r="B1" s="1" t="s">
        <v>1</v>
      </c>
      <c r="C1" s="1" t="s">
        <v>2</v>
      </c>
      <c r="D1" s="1" t="s">
        <v>3</v>
      </c>
      <c r="E1" s="1" t="s">
        <v>4</v>
      </c>
      <c r="F1" s="1" t="s">
        <v>5</v>
      </c>
      <c r="G1" s="1" t="s">
        <v>6</v>
      </c>
    </row>
    <row r="2" spans="1:7" ht="300" customHeight="1" x14ac:dyDescent="0.35">
      <c r="A2" s="2" t="s">
        <v>7</v>
      </c>
      <c r="B2" s="2" t="s">
        <v>8</v>
      </c>
      <c r="C2" s="2" t="s">
        <v>9</v>
      </c>
      <c r="D2" s="2" t="s">
        <v>10</v>
      </c>
      <c r="E2" s="3" t="s">
        <v>11</v>
      </c>
      <c r="F2" s="4" t="s">
        <v>12</v>
      </c>
      <c r="G2" s="5" t="s">
        <v>13</v>
      </c>
    </row>
    <row r="3" spans="1:7" ht="300" customHeight="1" x14ac:dyDescent="0.35">
      <c r="A3" s="2" t="s">
        <v>14</v>
      </c>
      <c r="B3" s="2" t="s">
        <v>15</v>
      </c>
      <c r="C3" s="2" t="s">
        <v>16</v>
      </c>
      <c r="D3" s="2" t="s">
        <v>17</v>
      </c>
      <c r="E3" s="3" t="s">
        <v>18</v>
      </c>
      <c r="F3" s="4" t="s">
        <v>19</v>
      </c>
      <c r="G3" s="5" t="s">
        <v>20</v>
      </c>
    </row>
    <row r="4" spans="1:7" ht="300" customHeight="1" x14ac:dyDescent="0.35">
      <c r="A4" s="2" t="s">
        <v>21</v>
      </c>
      <c r="B4" s="2" t="s">
        <v>22</v>
      </c>
      <c r="C4" s="2" t="s">
        <v>23</v>
      </c>
      <c r="D4" s="2" t="s">
        <v>10</v>
      </c>
      <c r="E4" s="3" t="s">
        <v>24</v>
      </c>
      <c r="F4" s="4" t="s">
        <v>25</v>
      </c>
      <c r="G4" s="5" t="s">
        <v>26</v>
      </c>
    </row>
    <row r="5" spans="1:7" ht="300" customHeight="1" x14ac:dyDescent="0.35">
      <c r="A5" s="2" t="s">
        <v>27</v>
      </c>
      <c r="B5" s="2" t="s">
        <v>28</v>
      </c>
      <c r="C5" s="2" t="s">
        <v>29</v>
      </c>
      <c r="D5" s="2" t="s">
        <v>17</v>
      </c>
      <c r="E5" s="3" t="s">
        <v>30</v>
      </c>
      <c r="F5" s="4" t="s">
        <v>31</v>
      </c>
      <c r="G5" s="5" t="s">
        <v>32</v>
      </c>
    </row>
    <row r="6" spans="1:7" ht="300" customHeight="1" x14ac:dyDescent="0.35">
      <c r="A6" s="2" t="s">
        <v>33</v>
      </c>
      <c r="B6" s="2" t="s">
        <v>34</v>
      </c>
      <c r="C6" s="2" t="s">
        <v>35</v>
      </c>
      <c r="D6" s="2" t="s">
        <v>10</v>
      </c>
      <c r="E6" s="3" t="s">
        <v>36</v>
      </c>
      <c r="F6" s="4" t="s">
        <v>37</v>
      </c>
      <c r="G6" s="5" t="s">
        <v>38</v>
      </c>
    </row>
    <row r="7" spans="1:7" ht="300" customHeight="1" x14ac:dyDescent="0.35">
      <c r="A7" s="2" t="s">
        <v>39</v>
      </c>
      <c r="B7" s="2" t="s">
        <v>40</v>
      </c>
      <c r="C7" s="2" t="s">
        <v>41</v>
      </c>
      <c r="D7" s="2" t="s">
        <v>17</v>
      </c>
      <c r="E7" s="3" t="s">
        <v>42</v>
      </c>
      <c r="F7" s="4" t="s">
        <v>43</v>
      </c>
      <c r="G7" s="5" t="s">
        <v>44</v>
      </c>
    </row>
    <row r="8" spans="1:7" ht="300" customHeight="1" x14ac:dyDescent="0.35">
      <c r="A8" s="2" t="s">
        <v>45</v>
      </c>
      <c r="B8" s="2" t="s">
        <v>46</v>
      </c>
      <c r="C8" s="2" t="s">
        <v>47</v>
      </c>
      <c r="D8" s="2" t="s">
        <v>10</v>
      </c>
      <c r="E8" s="3" t="s">
        <v>48</v>
      </c>
      <c r="F8" s="4" t="s">
        <v>49</v>
      </c>
      <c r="G8" s="5" t="s">
        <v>50</v>
      </c>
    </row>
    <row r="9" spans="1:7" ht="300" customHeight="1" x14ac:dyDescent="0.35">
      <c r="A9" s="2" t="s">
        <v>51</v>
      </c>
      <c r="B9" s="2" t="s">
        <v>52</v>
      </c>
      <c r="C9" s="2" t="s">
        <v>53</v>
      </c>
      <c r="D9" s="2" t="s">
        <v>54</v>
      </c>
      <c r="E9" s="3" t="s">
        <v>55</v>
      </c>
      <c r="F9" s="4" t="s">
        <v>56</v>
      </c>
      <c r="G9" s="5"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
  <sheetViews>
    <sheetView workbookViewId="0">
      <pane xSplit="3" ySplit="1" topLeftCell="D2" activePane="bottomRight" state="frozen"/>
      <selection pane="topRight"/>
      <selection pane="bottomLeft"/>
      <selection pane="bottomRight"/>
    </sheetView>
  </sheetViews>
  <sheetFormatPr defaultRowHeight="14.5" x14ac:dyDescent="0.35"/>
  <cols>
    <col min="1" max="1" width="8" customWidth="1"/>
    <col min="2" max="2" width="36" customWidth="1"/>
    <col min="3" max="3" width="32" customWidth="1"/>
    <col min="4" max="15" width="12" customWidth="1"/>
  </cols>
  <sheetData>
    <row r="1" spans="1:15" ht="24" x14ac:dyDescent="0.35">
      <c r="A1" s="6" t="s">
        <v>0</v>
      </c>
      <c r="B1" s="6" t="s">
        <v>1</v>
      </c>
      <c r="C1" s="6" t="s">
        <v>60</v>
      </c>
      <c r="D1" s="6" t="s">
        <v>61</v>
      </c>
      <c r="E1" s="6" t="s">
        <v>62</v>
      </c>
      <c r="F1" s="6" t="s">
        <v>63</v>
      </c>
      <c r="G1" s="6" t="s">
        <v>64</v>
      </c>
      <c r="H1" s="6" t="s">
        <v>65</v>
      </c>
      <c r="I1" s="6" t="s">
        <v>66</v>
      </c>
      <c r="J1" s="6" t="s">
        <v>67</v>
      </c>
      <c r="K1" s="6" t="s">
        <v>68</v>
      </c>
      <c r="L1" s="6" t="s">
        <v>69</v>
      </c>
      <c r="M1" s="6" t="s">
        <v>70</v>
      </c>
      <c r="N1" s="6" t="s">
        <v>71</v>
      </c>
      <c r="O1" s="6" t="s">
        <v>72</v>
      </c>
    </row>
    <row r="2" spans="1:15" ht="20" customHeight="1" x14ac:dyDescent="0.35">
      <c r="A2" s="7" t="s">
        <v>7</v>
      </c>
      <c r="B2" s="7" t="s">
        <v>8</v>
      </c>
      <c r="C2" s="7" t="s">
        <v>9</v>
      </c>
      <c r="D2" s="8"/>
      <c r="E2" s="8"/>
      <c r="F2" s="8"/>
      <c r="G2" s="9"/>
      <c r="H2" s="9"/>
      <c r="I2" s="9"/>
      <c r="J2" s="10"/>
      <c r="K2" s="10"/>
      <c r="L2" s="10"/>
      <c r="M2" s="11"/>
      <c r="N2" s="11"/>
      <c r="O2" s="11"/>
    </row>
    <row r="3" spans="1:15" ht="20" customHeight="1" x14ac:dyDescent="0.35">
      <c r="A3" s="2" t="s">
        <v>14</v>
      </c>
      <c r="B3" s="2" t="s">
        <v>15</v>
      </c>
      <c r="C3" s="2" t="s">
        <v>16</v>
      </c>
      <c r="D3" s="12"/>
      <c r="E3" s="12"/>
      <c r="F3" s="12"/>
      <c r="G3" s="13"/>
      <c r="H3" s="13"/>
      <c r="I3" s="13"/>
      <c r="J3" s="14"/>
      <c r="K3" s="14"/>
      <c r="L3" s="14"/>
      <c r="M3" s="15"/>
      <c r="N3" s="15"/>
      <c r="O3" s="15"/>
    </row>
    <row r="4" spans="1:15" ht="20" customHeight="1" x14ac:dyDescent="0.35">
      <c r="A4" s="7" t="s">
        <v>21</v>
      </c>
      <c r="B4" s="7" t="s">
        <v>22</v>
      </c>
      <c r="C4" s="7" t="s">
        <v>23</v>
      </c>
      <c r="D4" s="8"/>
      <c r="E4" s="8"/>
      <c r="F4" s="8"/>
      <c r="G4" s="9"/>
      <c r="H4" s="9"/>
      <c r="I4" s="9"/>
      <c r="J4" s="10"/>
      <c r="K4" s="10"/>
      <c r="L4" s="10"/>
      <c r="M4" s="11"/>
      <c r="N4" s="11"/>
      <c r="O4" s="11"/>
    </row>
    <row r="5" spans="1:15" ht="20" customHeight="1" x14ac:dyDescent="0.35">
      <c r="A5" s="2" t="s">
        <v>27</v>
      </c>
      <c r="B5" s="2" t="s">
        <v>28</v>
      </c>
      <c r="C5" s="2" t="s">
        <v>29</v>
      </c>
      <c r="D5" s="12"/>
      <c r="E5" s="12"/>
      <c r="F5" s="12"/>
      <c r="G5" s="13"/>
      <c r="H5" s="13"/>
      <c r="I5" s="13"/>
      <c r="J5" s="14"/>
      <c r="K5" s="14"/>
      <c r="L5" s="14"/>
      <c r="M5" s="15"/>
      <c r="N5" s="15"/>
      <c r="O5" s="15"/>
    </row>
    <row r="6" spans="1:15" ht="20" customHeight="1" x14ac:dyDescent="0.35">
      <c r="A6" s="7" t="s">
        <v>33</v>
      </c>
      <c r="B6" s="7" t="s">
        <v>34</v>
      </c>
      <c r="C6" s="7" t="s">
        <v>73</v>
      </c>
      <c r="D6" s="8"/>
      <c r="E6" s="8"/>
      <c r="F6" s="8"/>
      <c r="G6" s="9"/>
      <c r="H6" s="9"/>
      <c r="I6" s="9"/>
      <c r="J6" s="10"/>
      <c r="K6" s="10"/>
      <c r="L6" s="10"/>
      <c r="M6" s="11"/>
      <c r="N6" s="11"/>
      <c r="O6" s="11"/>
    </row>
    <row r="7" spans="1:15" ht="20" customHeight="1" x14ac:dyDescent="0.35">
      <c r="A7" s="2" t="s">
        <v>39</v>
      </c>
      <c r="B7" s="2" t="s">
        <v>40</v>
      </c>
      <c r="C7" s="2" t="s">
        <v>74</v>
      </c>
      <c r="D7" s="12"/>
      <c r="E7" s="12"/>
      <c r="F7" s="12"/>
      <c r="G7" s="13"/>
      <c r="H7" s="13"/>
      <c r="I7" s="13"/>
      <c r="J7" s="14"/>
      <c r="K7" s="14"/>
      <c r="L7" s="14"/>
      <c r="M7" s="15"/>
      <c r="N7" s="15"/>
      <c r="O7" s="15"/>
    </row>
    <row r="8" spans="1:15" ht="20" customHeight="1" x14ac:dyDescent="0.35">
      <c r="A8" s="7" t="s">
        <v>45</v>
      </c>
      <c r="B8" s="7" t="s">
        <v>46</v>
      </c>
      <c r="C8" s="7" t="s">
        <v>47</v>
      </c>
      <c r="D8" s="8"/>
      <c r="E8" s="8"/>
      <c r="F8" s="8"/>
      <c r="G8" s="9"/>
      <c r="H8" s="9"/>
      <c r="I8" s="9"/>
      <c r="J8" s="10"/>
      <c r="K8" s="10"/>
      <c r="L8" s="10"/>
      <c r="M8" s="11"/>
      <c r="N8" s="11"/>
      <c r="O8" s="11"/>
    </row>
    <row r="9" spans="1:15" ht="20" customHeight="1" x14ac:dyDescent="0.35">
      <c r="A9" s="2" t="s">
        <v>51</v>
      </c>
      <c r="B9" s="2" t="s">
        <v>52</v>
      </c>
      <c r="C9" s="2" t="s">
        <v>75</v>
      </c>
      <c r="D9" s="12"/>
      <c r="E9" s="12"/>
      <c r="F9" s="12"/>
      <c r="G9" s="13"/>
      <c r="H9" s="13"/>
      <c r="I9" s="13"/>
      <c r="J9" s="14"/>
      <c r="K9" s="14"/>
      <c r="L9" s="14"/>
      <c r="M9" s="15"/>
      <c r="N9" s="15"/>
      <c r="O9" s="15"/>
    </row>
    <row r="10" spans="1:15" ht="20" customHeight="1" x14ac:dyDescent="0.35">
      <c r="A10" s="7" t="s">
        <v>58</v>
      </c>
      <c r="B10" s="7" t="s">
        <v>59</v>
      </c>
      <c r="C10" s="7" t="s">
        <v>76</v>
      </c>
      <c r="D10" s="8"/>
      <c r="E10" s="8"/>
      <c r="F10" s="8"/>
      <c r="G10" s="9"/>
      <c r="H10" s="9"/>
      <c r="I10" s="9"/>
      <c r="J10" s="10"/>
      <c r="K10" s="10"/>
      <c r="L10" s="10"/>
      <c r="M10" s="11"/>
      <c r="N10" s="11"/>
      <c r="O10" s="11"/>
    </row>
    <row r="11" spans="1:15" ht="20" customHeight="1" x14ac:dyDescent="0.35">
      <c r="A11" s="16" t="s">
        <v>77</v>
      </c>
      <c r="B11" s="16"/>
      <c r="C11" s="16"/>
      <c r="D11" s="16">
        <f t="shared" ref="D11:O11" si="0">SUM(D2:D10)</f>
        <v>0</v>
      </c>
      <c r="E11" s="16">
        <f t="shared" si="0"/>
        <v>0</v>
      </c>
      <c r="F11" s="16">
        <f t="shared" si="0"/>
        <v>0</v>
      </c>
      <c r="G11" s="16">
        <f t="shared" si="0"/>
        <v>0</v>
      </c>
      <c r="H11" s="16">
        <f t="shared" si="0"/>
        <v>0</v>
      </c>
      <c r="I11" s="16">
        <f t="shared" si="0"/>
        <v>0</v>
      </c>
      <c r="J11" s="16">
        <f t="shared" si="0"/>
        <v>0</v>
      </c>
      <c r="K11" s="16">
        <f t="shared" si="0"/>
        <v>0</v>
      </c>
      <c r="L11" s="16">
        <f t="shared" si="0"/>
        <v>0</v>
      </c>
      <c r="M11" s="16">
        <f t="shared" si="0"/>
        <v>0</v>
      </c>
      <c r="N11" s="16">
        <f t="shared" si="0"/>
        <v>0</v>
      </c>
      <c r="O11" s="16">
        <f t="shared" si="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Rule Definitions</vt:lpstr>
      <vt:lpstr>Results Matrix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Mohammadsaeed Heidary</cp:lastModifiedBy>
  <dcterms:created xsi:type="dcterms:W3CDTF">2026-04-20T03:57:07Z</dcterms:created>
  <dcterms:modified xsi:type="dcterms:W3CDTF">2026-06-10T01:35:42Z</dcterms:modified>
</cp:coreProperties>
</file>